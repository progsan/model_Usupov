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Download\"/>
    </mc:Choice>
  </mc:AlternateContent>
  <xr:revisionPtr revIDLastSave="0" documentId="13_ncr:1_{F5FBFF17-3B98-4123-B27E-25150738D482}" xr6:coauthVersionLast="47" xr6:coauthVersionMax="47" xr10:uidLastSave="{00000000-0000-0000-0000-000000000000}"/>
  <bookViews>
    <workbookView xWindow="-110" yWindow="-110" windowWidth="38620" windowHeight="21820" xr2:uid="{E2D9923F-3570-4145-AEFF-B70D67EB3B07}"/>
  </bookViews>
  <sheets>
    <sheet name="Анкета" sheetId="1" r:id="rId1"/>
    <sheet name="Анализ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 a="1"/>
  <c r="D7" i="2" a="1"/>
  <c r="D8" i="2" a="1"/>
  <c r="D9" i="2" a="1"/>
  <c r="D4" i="2" a="1"/>
  <c r="D5" i="2" a="1"/>
  <c r="D6" i="2" a="1"/>
  <c r="D2" i="2" a="1"/>
  <c r="D6" i="2" l="1"/>
  <c r="D5" i="2"/>
  <c r="D4" i="2"/>
  <c r="D9" i="2"/>
  <c r="D8" i="2"/>
  <c r="D7" i="2"/>
  <c r="D3" i="2"/>
  <c r="D2" i="2"/>
  <c r="E9" i="2" a="1"/>
  <c r="E2" i="2" a="1"/>
  <c r="E6" i="2" a="1"/>
  <c r="E4" i="2" a="1"/>
  <c r="E3" i="2" a="1"/>
  <c r="E5" i="2" a="1"/>
  <c r="E8" i="2" a="1"/>
  <c r="E7" i="2" a="1"/>
  <c r="E9" i="2" l="1"/>
  <c r="E7" i="2"/>
  <c r="E8" i="2"/>
  <c r="E5" i="2"/>
  <c r="E3" i="2"/>
  <c r="E4" i="2"/>
  <c r="E6" i="2"/>
  <c r="E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<sst xmlns="http://schemas.openxmlformats.org/spreadsheetml/2006/main" count="83" uniqueCount="60">
  <si>
    <t>МЕТОДИКА ОПРЕДЕЛЕНИЯ МОДЕЛИ ПОВЕДЕНИЯ В ПЕДАГОГИЧЕСКОМ ОБЩЕНИИ И.М. Юсупова</t>
  </si>
  <si>
    <t>Вопрос</t>
  </si>
  <si>
    <t>Ответ (+/-)</t>
  </si>
  <si>
    <t>-</t>
  </si>
  <si>
    <t>+</t>
  </si>
  <si>
    <t>Инструкция к тесту: просматривая каждый из вопросов теста, отмечайте знаком «+», если согласны с ним, и символом «–», если даете отрицательный ответ. От степени объективности ответов зависит и степень достоверности результатов тестирования.</t>
  </si>
  <si>
    <t xml:space="preserve">1. Нуждаетесь ли вы в тщательной подготовке урока даже по неоднократно пройденной теме? </t>
  </si>
  <si>
    <t xml:space="preserve">2. Предпочитаете ли вы логику изложения эмоциональному рассказу? </t>
  </si>
  <si>
    <t xml:space="preserve">3. Волнуетесь ли вы перед тем, как оказаться лицом к лицу с классом? </t>
  </si>
  <si>
    <t>4. Предпочитаете ли вы во время объяснения учебного материала находиться за учительским столом (на кафедре)?</t>
  </si>
  <si>
    <t xml:space="preserve">5. Часто ли вы используете методические приемы, которые успешно применялись вами ранее и давали положительные результаты? </t>
  </si>
  <si>
    <t xml:space="preserve">6. Придерживаетесь ли вы заранее спланированной схемы урока? </t>
  </si>
  <si>
    <t xml:space="preserve">7. Часто ли вы по ходу урока включаете в него только что пришедшие в голову примеры, иллюстрируете сказанное свежим случаем, свидетелем которого были сами? </t>
  </si>
  <si>
    <t xml:space="preserve">8. Вовлекаете ли вы в обсуждение темы урока учащихся? </t>
  </si>
  <si>
    <t xml:space="preserve">9. Стремитесь ли вы рассказать как можно больше по теме, невзирая на лица слушателей? </t>
  </si>
  <si>
    <t xml:space="preserve">10. Часто ли вам удается удачно пошутить в ходе урока? </t>
  </si>
  <si>
    <t xml:space="preserve">11. Предпочитаете ли вы вести объяснение учебного материала, не отрываясь от своих записей (конспектов)? </t>
  </si>
  <si>
    <t xml:space="preserve">12. Выводит ли вас из равновесия непредвиденная реакция аудитории (шум, гул, оживление и т. п.) среди учащихся? </t>
  </si>
  <si>
    <t xml:space="preserve">13. Нуждаетесь ли вы в достаточно длительном времени (5-8 мин), чтобы установить нарушенный контакт и вновь привлечь к себе внимание учащихся? </t>
  </si>
  <si>
    <t xml:space="preserve">14. Повышаете ли вы голос, делаете ли паузу, если почувствуете невнимание к себе со стороны учащихся во время урока? </t>
  </si>
  <si>
    <t xml:space="preserve">15. Стремитесь ли вы, задав полемический вопрос, самостоятельно на него ответить? </t>
  </si>
  <si>
    <t xml:space="preserve">16. Предпочитаете ли вы, чтобы учащиеся задавали вам вопросы по ходу объяснения учебного материала? </t>
  </si>
  <si>
    <t xml:space="preserve">17. Забываете ли вы во время урока о том, кто вас слушает? </t>
  </si>
  <si>
    <t xml:space="preserve">18. Есть ли у вас привычка выбирать среди учащихся в классе два-три лица и следить за их эмоциональными реакциями? </t>
  </si>
  <si>
    <t xml:space="preserve">19. Выбивают ли вас из колеи скептические ухмылки учащихся? </t>
  </si>
  <si>
    <t xml:space="preserve">20. Замечаете ли вы во время урока изменения в настроении учащихся? </t>
  </si>
  <si>
    <t>21. Поощряете ли вы учащихся вступать в диалог с вами во время объяснения темы урока?</t>
  </si>
  <si>
    <t xml:space="preserve">22. Отвечаете ли вы сразу же на реплики учащихся? </t>
  </si>
  <si>
    <t xml:space="preserve">23. Используете ли вы одни и те же жесты для подкрепления своих фраз независимо от ситуации? </t>
  </si>
  <si>
    <t xml:space="preserve">24. Увлекаетесь ли вы монологом настолько, что вам не хватает отведенного по плану урока времени? </t>
  </si>
  <si>
    <t>25. Чувствуете ли вы себя после уроков уставшими настолько, что не в состоянии повторить их в этот же день еще раз (во вторую смену)?</t>
  </si>
  <si>
    <t>Модели общения</t>
  </si>
  <si>
    <t>Ответы «да»</t>
  </si>
  <si>
    <t>Ответы «нет»</t>
  </si>
  <si>
    <t>Дикторская «Монблан»</t>
  </si>
  <si>
    <t>4, 6, 11, 15, 17, 23</t>
  </si>
  <si>
    <t>1, 7, 8, 9, 12, 13, 14, 16, 18, 19, 20, 21, 22, 24</t>
  </si>
  <si>
    <t>Неконтактная «Китайская стена»</t>
  </si>
  <si>
    <t>9, 11, 13, 14, 15</t>
  </si>
  <si>
    <t>Дифференцированное внимание «Локатор»</t>
  </si>
  <si>
    <t>10, 14, 18, 20, 21</t>
  </si>
  <si>
    <t>2, 4, 6, 13, 15, 17, 23</t>
  </si>
  <si>
    <t>Гипорефлексивная «Тетерев»</t>
  </si>
  <si>
    <t>9, 11, 15, 17, 23, 24</t>
  </si>
  <si>
    <t>8, 12, 16, 19, 20, 21, 22</t>
  </si>
  <si>
    <t>Гиперрефлексивная «Гамлет»</t>
  </si>
  <si>
    <t>3,12,14,18,19,20,22,25</t>
  </si>
  <si>
    <t>2, 5, 6, 11, 13, 23</t>
  </si>
  <si>
    <t>Негибкого реагирования «Робот»</t>
  </si>
  <si>
    <t>1, 2, 5, 6, 13, 15, 23</t>
  </si>
  <si>
    <t>7, 8, 9, 11, 16, 21, 24</t>
  </si>
  <si>
    <t>Авторитарная «Я сам(а)»</t>
  </si>
  <si>
    <t>5, 10, 14, 15, 18, 24</t>
  </si>
  <si>
    <t>2, 8, 16, 21</t>
  </si>
  <si>
    <t>Активного взаимодействия «Союз»</t>
  </si>
  <si>
    <t>7, 8, 10, 16, 20, 21,22</t>
  </si>
  <si>
    <t>1, 2, 4, 5, 6, 11, 13, 15, 17, 23</t>
  </si>
  <si>
    <t>%</t>
  </si>
  <si>
    <t>1, 7, 8, 12, 16, 18, 19, 20, 21</t>
  </si>
  <si>
    <t>Число совпадений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</si>
</sst>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3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49" fontId="0" fillId="0" borderId="1" xfId="0" applyNumberFormat="1" applyBorder="1"/>
    <xf numFmtId="0" fontId="1" fillId="0" borderId="1" xfId="0" applyFont="1" applyBorder="1" applyAlignment="1">
      <alignment horizontal="justify" vertical="center"/>
    </xf>
    <xf numFmtId="0" fontId="1" fillId="0" borderId="1" xfId="0" applyFont="1" applyBorder="1"/>
    <xf numFmtId="0" fontId="1" fillId="0" borderId="4" xfId="0" applyFont="1" applyBorder="1" applyAlignment="1">
      <alignment horizontal="justify" vertical="center" wrapText="1"/>
    </xf>
    <xf numFmtId="0" fontId="1" fillId="0" borderId="5" xfId="0" applyFont="1" applyBorder="1" applyAlignment="1">
      <alignment horizontal="justify" vertical="center" wrapText="1"/>
    </xf>
    <xf numFmtId="0" fontId="1" fillId="0" borderId="7" xfId="0" applyFont="1" applyBorder="1" applyAlignment="1">
      <alignment horizontal="justify" vertical="center" wrapText="1"/>
    </xf>
    <xf numFmtId="0" fontId="1" fillId="2" borderId="2" xfId="0" applyFont="1" applyFill="1" applyBorder="1" applyAlignment="1">
      <alignment horizontal="justify" vertical="center" wrapText="1"/>
    </xf>
    <xf numFmtId="0" fontId="1" fillId="2" borderId="3" xfId="0" applyFont="1" applyFill="1" applyBorder="1" applyAlignment="1">
      <alignment horizontal="justify" vertical="center" wrapText="1"/>
    </xf>
    <xf numFmtId="0" fontId="1" fillId="2" borderId="6" xfId="0" applyFont="1" applyFill="1" applyBorder="1" applyAlignment="1">
      <alignment horizontal="justify" vertical="center" wrapText="1"/>
    </xf>
    <xf numFmtId="0" fontId="0" fillId="2" borderId="1" xfId="0" applyFill="1" applyBorder="1"/>
    <xf numFmtId="9" fontId="0" fillId="0" borderId="2" xfId="1" applyFont="1" applyBorder="1"/>
    <xf numFmtId="0" fontId="0" fillId="0" borderId="8" xfId="1" applyNumberFormat="1" applyFont="1" applyBorder="1"/>
    <xf numFmtId="0" fontId="1" fillId="2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07DA8-55DD-4FA8-9440-C9304B10356C}">
  <sheetPr codeName="Лист1"/>
  <dimension ref="A1:B28"/>
  <sheetViews>
    <sheetView tabSelected="1" zoomScale="115" zoomScaleNormal="115" workbookViewId="0">
      <selection activeCell="A5" sqref="A5"/>
    </sheetView>
  </sheetViews>
  <sheetFormatPr defaultRowHeight="14.5" x14ac:dyDescent="0.35"/>
  <cols>
    <col min="1" max="1" width="13.1796875" customWidth="1"/>
    <col min="2" max="2" width="153.7265625" customWidth="1"/>
  </cols>
  <sheetData>
    <row r="1" spans="1:2" x14ac:dyDescent="0.35">
      <c r="A1" s="16" t="s">
        <v>0</v>
      </c>
      <c r="B1" s="16"/>
    </row>
    <row r="2" spans="1:2" ht="45.5" customHeight="1" x14ac:dyDescent="0.35">
      <c r="A2" s="1"/>
      <c r="B2" s="2" t="s">
        <v>5</v>
      </c>
    </row>
    <row r="3" spans="1:2" x14ac:dyDescent="0.35">
      <c r="A3" s="12" t="s">
        <v>2</v>
      </c>
      <c r="B3" s="12" t="s">
        <v>1</v>
      </c>
    </row>
    <row r="4" spans="1:2" ht="16.5" x14ac:dyDescent="0.35">
      <c r="A4" s="3" t="s">
        <v>3</v>
      </c>
      <c r="B4" s="4" t="s">
        <v>6</v>
      </c>
    </row>
    <row r="5" spans="1:2" ht="16.5" x14ac:dyDescent="0.35">
      <c r="A5" s="3" t="s">
        <v>4</v>
      </c>
      <c r="B5" s="4" t="s">
        <v>7</v>
      </c>
    </row>
    <row r="6" spans="1:2" ht="16.5" x14ac:dyDescent="0.35">
      <c r="A6" s="3" t="s">
        <v>3</v>
      </c>
      <c r="B6" s="4" t="s">
        <v>8</v>
      </c>
    </row>
    <row r="7" spans="1:2" ht="16.5" x14ac:dyDescent="0.35">
      <c r="A7" s="3" t="s">
        <v>3</v>
      </c>
      <c r="B7" s="4" t="s">
        <v>9</v>
      </c>
    </row>
    <row r="8" spans="1:2" ht="16.5" x14ac:dyDescent="0.35">
      <c r="A8" s="3" t="s">
        <v>4</v>
      </c>
      <c r="B8" s="4" t="s">
        <v>10</v>
      </c>
    </row>
    <row r="9" spans="1:2" ht="16.5" x14ac:dyDescent="0.35">
      <c r="A9" s="3" t="s">
        <v>4</v>
      </c>
      <c r="B9" s="4" t="s">
        <v>11</v>
      </c>
    </row>
    <row r="10" spans="1:2" ht="33" x14ac:dyDescent="0.35">
      <c r="A10" s="3" t="s">
        <v>4</v>
      </c>
      <c r="B10" s="4" t="s">
        <v>12</v>
      </c>
    </row>
    <row r="11" spans="1:2" ht="16.5" x14ac:dyDescent="0.35">
      <c r="A11" s="3" t="s">
        <v>4</v>
      </c>
      <c r="B11" s="4" t="s">
        <v>13</v>
      </c>
    </row>
    <row r="12" spans="1:2" ht="16.5" x14ac:dyDescent="0.35">
      <c r="A12" s="3" t="s">
        <v>3</v>
      </c>
      <c r="B12" s="4" t="s">
        <v>14</v>
      </c>
    </row>
    <row r="13" spans="1:2" ht="16.5" x14ac:dyDescent="0.35">
      <c r="A13" s="3" t="s">
        <v>4</v>
      </c>
      <c r="B13" s="4" t="s">
        <v>15</v>
      </c>
    </row>
    <row r="14" spans="1:2" ht="16.5" x14ac:dyDescent="0.35">
      <c r="A14" s="3" t="s">
        <v>3</v>
      </c>
      <c r="B14" s="4" t="s">
        <v>16</v>
      </c>
    </row>
    <row r="15" spans="1:2" ht="16.5" x14ac:dyDescent="0.35">
      <c r="A15" s="3" t="s">
        <v>3</v>
      </c>
      <c r="B15" s="4" t="s">
        <v>17</v>
      </c>
    </row>
    <row r="16" spans="1:2" ht="33" x14ac:dyDescent="0.35">
      <c r="A16" s="3" t="s">
        <v>3</v>
      </c>
      <c r="B16" s="4" t="s">
        <v>18</v>
      </c>
    </row>
    <row r="17" spans="1:2" ht="16.5" x14ac:dyDescent="0.35">
      <c r="A17" s="3" t="s">
        <v>4</v>
      </c>
      <c r="B17" s="4" t="s">
        <v>19</v>
      </c>
    </row>
    <row r="18" spans="1:2" ht="16.5" x14ac:dyDescent="0.35">
      <c r="A18" s="3" t="s">
        <v>3</v>
      </c>
      <c r="B18" s="4" t="s">
        <v>20</v>
      </c>
    </row>
    <row r="19" spans="1:2" ht="16.5" x14ac:dyDescent="0.35">
      <c r="A19" s="3" t="s">
        <v>4</v>
      </c>
      <c r="B19" s="4" t="s">
        <v>21</v>
      </c>
    </row>
    <row r="20" spans="1:2" ht="16.5" x14ac:dyDescent="0.35">
      <c r="A20" s="3" t="s">
        <v>3</v>
      </c>
      <c r="B20" s="4" t="s">
        <v>22</v>
      </c>
    </row>
    <row r="21" spans="1:2" ht="16.5" x14ac:dyDescent="0.35">
      <c r="A21" s="3" t="s">
        <v>4</v>
      </c>
      <c r="B21" s="4" t="s">
        <v>23</v>
      </c>
    </row>
    <row r="22" spans="1:2" ht="16.5" x14ac:dyDescent="0.35">
      <c r="A22" s="3" t="s">
        <v>3</v>
      </c>
      <c r="B22" s="4" t="s">
        <v>24</v>
      </c>
    </row>
    <row r="23" spans="1:2" ht="16.5" x14ac:dyDescent="0.35">
      <c r="A23" s="3" t="s">
        <v>4</v>
      </c>
      <c r="B23" s="4" t="s">
        <v>25</v>
      </c>
    </row>
    <row r="24" spans="1:2" ht="16.5" x14ac:dyDescent="0.35">
      <c r="A24" s="3" t="s">
        <v>4</v>
      </c>
      <c r="B24" s="4" t="s">
        <v>26</v>
      </c>
    </row>
    <row r="25" spans="1:2" ht="16.5" x14ac:dyDescent="0.35">
      <c r="A25" s="3" t="s">
        <v>4</v>
      </c>
      <c r="B25" s="4" t="s">
        <v>27</v>
      </c>
    </row>
    <row r="26" spans="1:2" ht="16.5" x14ac:dyDescent="0.35">
      <c r="A26" s="3" t="s">
        <v>3</v>
      </c>
      <c r="B26" s="4" t="s">
        <v>28</v>
      </c>
    </row>
    <row r="27" spans="1:2" ht="16.5" x14ac:dyDescent="0.35">
      <c r="A27" s="3" t="s">
        <v>3</v>
      </c>
      <c r="B27" s="4" t="s">
        <v>29</v>
      </c>
    </row>
    <row r="28" spans="1:2" ht="16.5" x14ac:dyDescent="0.35">
      <c r="A28" s="3" t="s">
        <v>3</v>
      </c>
      <c r="B28" s="5" t="s">
        <v>30</v>
      </c>
    </row>
  </sheetData>
  <mergeCells count="1">
    <mergeCell ref="A1:B1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74C67-ABAB-4B6D-9152-B0C8F956C261}">
  <sheetPr codeName="Лист2"/>
  <dimension ref="A1:E9"/>
  <sheetViews>
    <sheetView workbookViewId="0">
      <selection activeCell="D11" sqref="D11"/>
    </sheetView>
  </sheetViews>
  <sheetFormatPr defaultRowHeight="14.5" x14ac:dyDescent="0.35"/>
  <cols>
    <col min="1" max="2" width="32.1796875" customWidth="1"/>
    <col min="3" max="3" width="33.36328125" customWidth="1"/>
    <col min="4" max="4" width="14.7265625" customWidth="1"/>
  </cols>
  <sheetData>
    <row r="1" spans="1:5" ht="33.5" thickBot="1" x14ac:dyDescent="0.4">
      <c r="A1" s="9" t="s">
        <v>31</v>
      </c>
      <c r="B1" s="10" t="s">
        <v>32</v>
      </c>
      <c r="C1" s="10" t="s">
        <v>33</v>
      </c>
      <c r="D1" s="15" t="s">
        <v>59</v>
      </c>
      <c r="E1" s="11" t="s">
        <v>57</v>
      </c>
    </row>
    <row r="2" spans="1:5" ht="33.5" thickBot="1" x14ac:dyDescent="0.4">
      <c r="A2" s="6" t="s">
        <v>34</v>
      </c>
      <c r="B2" s="7" t="s">
        <v>35</v>
      </c>
      <c r="C2" s="8" t="s">
        <v>36</v>
      </c>
      <c r="D2" s="14" cm="1">
        <f t="array" ref="D2">сheckArrayData(B2,"+") + сheckArrayData(C2,"-")</f>
        <v>7</v>
      </c>
      <c r="E2" s="13" cm="1">
        <f t="array" ref="E2">D2/(lengthArray(B2)+ lengthArray(C2))</f>
        <v>0.35</v>
      </c>
    </row>
    <row r="3" spans="1:5" ht="33.5" thickBot="1" x14ac:dyDescent="0.4">
      <c r="A3" s="6" t="s">
        <v>37</v>
      </c>
      <c r="B3" s="7" t="s">
        <v>38</v>
      </c>
      <c r="C3" s="8" t="s">
        <v>58</v>
      </c>
      <c r="D3" s="14" cm="1">
        <f t="array" ref="D3">сheckArrayData(B3,"+") + сheckArrayData(C3,"-")</f>
        <v>4</v>
      </c>
      <c r="E3" s="13" cm="1">
        <f t="array" ref="E3">D3/(lengthArray(B3)+ lengthArray(C3))</f>
        <v>0.2857142857142857</v>
      </c>
    </row>
    <row r="4" spans="1:5" ht="33.5" thickBot="1" x14ac:dyDescent="0.4">
      <c r="A4" s="6" t="s">
        <v>39</v>
      </c>
      <c r="B4" s="7" t="s">
        <v>40</v>
      </c>
      <c r="C4" s="8" t="s">
        <v>41</v>
      </c>
      <c r="D4" s="14" cm="1">
        <f t="array" ref="D4">сheckArrayData(B4,"+") + сheckArrayData(C4,"-")</f>
        <v>10</v>
      </c>
      <c r="E4" s="13" cm="1">
        <f t="array" ref="E4">D4/(lengthArray(B4)+ lengthArray(C4))</f>
        <v>0.83333333333333337</v>
      </c>
    </row>
    <row r="5" spans="1:5" ht="17" thickBot="1" x14ac:dyDescent="0.4">
      <c r="A5" s="6" t="s">
        <v>42</v>
      </c>
      <c r="B5" s="7" t="s">
        <v>43</v>
      </c>
      <c r="C5" s="8" t="s">
        <v>44</v>
      </c>
      <c r="D5" s="14" cm="1">
        <f t="array" ref="D5">сheckArrayData(B5,"+") + сheckArrayData(C5,"-")</f>
        <v>2</v>
      </c>
      <c r="E5" s="13" cm="1">
        <f t="array" ref="E5">D5/(lengthArray(B5)+ lengthArray(C5))</f>
        <v>0.15384615384615385</v>
      </c>
    </row>
    <row r="6" spans="1:5" ht="17" thickBot="1" x14ac:dyDescent="0.4">
      <c r="A6" s="6" t="s">
        <v>45</v>
      </c>
      <c r="B6" s="7" t="s">
        <v>46</v>
      </c>
      <c r="C6" s="8" t="s">
        <v>47</v>
      </c>
      <c r="D6" s="14" cm="1">
        <f t="array" ref="D6">сheckArrayData(B6,"+") + сheckArrayData(C6,"-")</f>
        <v>7</v>
      </c>
      <c r="E6" s="13" cm="1">
        <f t="array" ref="E6">D6/(lengthArray(B6)+ lengthArray(C6))</f>
        <v>0.5</v>
      </c>
    </row>
    <row r="7" spans="1:5" ht="33.5" thickBot="1" x14ac:dyDescent="0.4">
      <c r="A7" s="6" t="s">
        <v>48</v>
      </c>
      <c r="B7" s="7" t="s">
        <v>49</v>
      </c>
      <c r="C7" s="8" t="s">
        <v>50</v>
      </c>
      <c r="D7" s="14" cm="1">
        <f t="array" ref="D7">сheckArrayData(B7,"+") + сheckArrayData(C7,"-")</f>
        <v>6</v>
      </c>
      <c r="E7" s="13" cm="1">
        <f t="array" ref="E7">D7/(lengthArray(B7)+ lengthArray(C7))</f>
        <v>0.42857142857142855</v>
      </c>
    </row>
    <row r="8" spans="1:5" ht="17" thickBot="1" x14ac:dyDescent="0.4">
      <c r="A8" s="6" t="s">
        <v>51</v>
      </c>
      <c r="B8" s="7" t="s">
        <v>52</v>
      </c>
      <c r="C8" s="8" t="s">
        <v>53</v>
      </c>
      <c r="D8" s="14" cm="1">
        <f t="array" ref="D8">сheckArrayData(B8,"+") + сheckArrayData(C8,"-")</f>
        <v>4</v>
      </c>
      <c r="E8" s="13" cm="1">
        <f t="array" ref="E8">D8/(lengthArray(B8)+ lengthArray(C8))</f>
        <v>0.4</v>
      </c>
    </row>
    <row r="9" spans="1:5" ht="33.5" thickBot="1" x14ac:dyDescent="0.4">
      <c r="A9" s="6" t="s">
        <v>54</v>
      </c>
      <c r="B9" s="7" t="s">
        <v>55</v>
      </c>
      <c r="C9" s="8" t="s">
        <v>56</v>
      </c>
      <c r="D9" s="14" cm="1">
        <f t="array" ref="D9">сheckArrayData(B9,"+") + сheckArrayData(C9,"-")</f>
        <v>14</v>
      </c>
      <c r="E9" s="13" cm="1">
        <f t="array" ref="E9">D9/(lengthArray(B9)+ lengthArray(C9))</f>
        <v>0.82352941176470584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Анкета</vt:lpstr>
      <vt:lpstr>Анализ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</dc:creator>
  <cp:lastModifiedBy>Александр</cp:lastModifiedBy>
  <dcterms:created xsi:type="dcterms:W3CDTF">2025-05-20T06:30:44Z</dcterms:created>
  <dcterms:modified xsi:type="dcterms:W3CDTF">2025-05-20T09:02:59Z</dcterms:modified>
</cp:coreProperties>
</file>